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noop\Books\Data Science\"/>
    </mc:Choice>
  </mc:AlternateContent>
  <bookViews>
    <workbookView xWindow="0" yWindow="0" windowWidth="20490" windowHeight="7155" activeTab="1"/>
  </bookViews>
  <sheets>
    <sheet name="Sheet1" sheetId="1" r:id="rId1"/>
    <sheet name="Least Square Estimato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2" l="1"/>
  <c r="D64" i="2"/>
  <c r="H41" i="2"/>
  <c r="J36" i="2"/>
  <c r="H52" i="2"/>
  <c r="H51" i="2"/>
  <c r="B38" i="2"/>
  <c r="C36" i="2"/>
  <c r="D36" i="2"/>
  <c r="D38" i="2" s="1"/>
  <c r="E34" i="2" s="1"/>
  <c r="B36" i="2"/>
  <c r="F34" i="2" l="1"/>
  <c r="G34" i="2"/>
  <c r="K6" i="2"/>
  <c r="K10" i="2"/>
  <c r="K14" i="2"/>
  <c r="K18" i="2"/>
  <c r="K22" i="2"/>
  <c r="K26" i="2"/>
  <c r="K30" i="2"/>
  <c r="K34" i="2"/>
  <c r="H5" i="2"/>
  <c r="I5" i="2" s="1"/>
  <c r="H9" i="2"/>
  <c r="I9" i="2" s="1"/>
  <c r="H13" i="2"/>
  <c r="I13" i="2" s="1"/>
  <c r="H17" i="2"/>
  <c r="I17" i="2" s="1"/>
  <c r="H21" i="2"/>
  <c r="I21" i="2" s="1"/>
  <c r="H25" i="2"/>
  <c r="I25" i="2" s="1"/>
  <c r="H29" i="2"/>
  <c r="I29" i="2" s="1"/>
  <c r="H33" i="2"/>
  <c r="I33" i="2" s="1"/>
  <c r="K9" i="2"/>
  <c r="K25" i="2"/>
  <c r="K33" i="2"/>
  <c r="H4" i="2"/>
  <c r="I4" i="2" s="1"/>
  <c r="H16" i="2"/>
  <c r="I16" i="2" s="1"/>
  <c r="H28" i="2"/>
  <c r="I28" i="2" s="1"/>
  <c r="K4" i="2"/>
  <c r="K7" i="2"/>
  <c r="K11" i="2"/>
  <c r="K15" i="2"/>
  <c r="K19" i="2"/>
  <c r="K23" i="2"/>
  <c r="K27" i="2"/>
  <c r="K31" i="2"/>
  <c r="K35" i="2"/>
  <c r="H6" i="2"/>
  <c r="I6" i="2" s="1"/>
  <c r="H10" i="2"/>
  <c r="I10" i="2" s="1"/>
  <c r="H14" i="2"/>
  <c r="I14" i="2" s="1"/>
  <c r="H18" i="2"/>
  <c r="I18" i="2" s="1"/>
  <c r="H22" i="2"/>
  <c r="I22" i="2" s="1"/>
  <c r="H26" i="2"/>
  <c r="I26" i="2" s="1"/>
  <c r="H30" i="2"/>
  <c r="I30" i="2" s="1"/>
  <c r="H34" i="2"/>
  <c r="I34" i="2" s="1"/>
  <c r="K5" i="2"/>
  <c r="K17" i="2"/>
  <c r="K29" i="2"/>
  <c r="H8" i="2"/>
  <c r="I8" i="2" s="1"/>
  <c r="H20" i="2"/>
  <c r="I20" i="2" s="1"/>
  <c r="H32" i="2"/>
  <c r="I32" i="2" s="1"/>
  <c r="K3" i="2"/>
  <c r="K8" i="2"/>
  <c r="K12" i="2"/>
  <c r="K16" i="2"/>
  <c r="K20" i="2"/>
  <c r="K24" i="2"/>
  <c r="K28" i="2"/>
  <c r="K32" i="2"/>
  <c r="H3" i="2"/>
  <c r="I3" i="2" s="1"/>
  <c r="H7" i="2"/>
  <c r="I7" i="2" s="1"/>
  <c r="H11" i="2"/>
  <c r="I11" i="2" s="1"/>
  <c r="H15" i="2"/>
  <c r="I15" i="2" s="1"/>
  <c r="H19" i="2"/>
  <c r="I19" i="2" s="1"/>
  <c r="H23" i="2"/>
  <c r="I23" i="2" s="1"/>
  <c r="H27" i="2"/>
  <c r="I27" i="2" s="1"/>
  <c r="H31" i="2"/>
  <c r="I31" i="2" s="1"/>
  <c r="H35" i="2"/>
  <c r="I35" i="2" s="1"/>
  <c r="K13" i="2"/>
  <c r="K21" i="2"/>
  <c r="H12" i="2"/>
  <c r="I12" i="2" s="1"/>
  <c r="H24" i="2"/>
  <c r="I24" i="2" s="1"/>
  <c r="H2" i="2"/>
  <c r="E3" i="2"/>
  <c r="E7" i="2"/>
  <c r="E11" i="2"/>
  <c r="E15" i="2"/>
  <c r="E19" i="2"/>
  <c r="E23" i="2"/>
  <c r="E27" i="2"/>
  <c r="E31" i="2"/>
  <c r="E35" i="2"/>
  <c r="E6" i="2"/>
  <c r="E18" i="2"/>
  <c r="E4" i="2"/>
  <c r="E8" i="2"/>
  <c r="E12" i="2"/>
  <c r="E16" i="2"/>
  <c r="E20" i="2"/>
  <c r="E24" i="2"/>
  <c r="E28" i="2"/>
  <c r="E32" i="2"/>
  <c r="E2" i="2"/>
  <c r="E10" i="2"/>
  <c r="E22" i="2"/>
  <c r="E5" i="2"/>
  <c r="E9" i="2"/>
  <c r="E13" i="2"/>
  <c r="E17" i="2"/>
  <c r="E21" i="2"/>
  <c r="E25" i="2"/>
  <c r="E29" i="2"/>
  <c r="E33" i="2"/>
  <c r="E14" i="2"/>
  <c r="E26" i="2"/>
  <c r="E30" i="2"/>
  <c r="F29" i="2" l="1"/>
  <c r="G29" i="2"/>
  <c r="F10" i="2"/>
  <c r="G10" i="2"/>
  <c r="G24" i="2"/>
  <c r="F24" i="2"/>
  <c r="G8" i="2"/>
  <c r="F8" i="2"/>
  <c r="G35" i="2"/>
  <c r="F35" i="2"/>
  <c r="G19" i="2"/>
  <c r="F19" i="2"/>
  <c r="G3" i="2"/>
  <c r="F3" i="2"/>
  <c r="F26" i="2"/>
  <c r="G26" i="2"/>
  <c r="F25" i="2"/>
  <c r="G25" i="2"/>
  <c r="F9" i="2"/>
  <c r="G9" i="2"/>
  <c r="G2" i="2"/>
  <c r="E36" i="2"/>
  <c r="F2" i="2"/>
  <c r="G20" i="2"/>
  <c r="F20" i="2"/>
  <c r="G4" i="2"/>
  <c r="F4" i="2"/>
  <c r="F31" i="2"/>
  <c r="G31" i="2"/>
  <c r="F15" i="2"/>
  <c r="G15" i="2"/>
  <c r="I2" i="2"/>
  <c r="I36" i="2" s="1"/>
  <c r="H42" i="2" s="1"/>
  <c r="F13" i="2"/>
  <c r="G13" i="2"/>
  <c r="F14" i="2"/>
  <c r="G14" i="2"/>
  <c r="F5" i="2"/>
  <c r="G5" i="2"/>
  <c r="G16" i="2"/>
  <c r="F16" i="2"/>
  <c r="G11" i="2"/>
  <c r="F11" i="2"/>
  <c r="F30" i="2"/>
  <c r="G30" i="2"/>
  <c r="F21" i="2"/>
  <c r="G21" i="2"/>
  <c r="G32" i="2"/>
  <c r="F32" i="2"/>
  <c r="F18" i="2"/>
  <c r="G18" i="2"/>
  <c r="G27" i="2"/>
  <c r="F27" i="2"/>
  <c r="F33" i="2"/>
  <c r="G33" i="2"/>
  <c r="F17" i="2"/>
  <c r="G17" i="2"/>
  <c r="F22" i="2"/>
  <c r="G22" i="2"/>
  <c r="G28" i="2"/>
  <c r="F28" i="2"/>
  <c r="G12" i="2"/>
  <c r="F12" i="2"/>
  <c r="F6" i="2"/>
  <c r="G6" i="2"/>
  <c r="G23" i="2"/>
  <c r="F23" i="2"/>
  <c r="G7" i="2"/>
  <c r="F7" i="2"/>
  <c r="K2" i="2"/>
  <c r="K36" i="2" s="1"/>
  <c r="H48" i="2" l="1"/>
  <c r="H50" i="2" s="1"/>
  <c r="H44" i="2"/>
  <c r="H46" i="2" s="1"/>
  <c r="F36" i="2"/>
  <c r="G36" i="2"/>
  <c r="H40" i="2" s="1"/>
</calcChain>
</file>

<file path=xl/sharedStrings.xml><?xml version="1.0" encoding="utf-8"?>
<sst xmlns="http://schemas.openxmlformats.org/spreadsheetml/2006/main" count="77" uniqueCount="75">
  <si>
    <t>Argentina</t>
  </si>
  <si>
    <t>Australia</t>
  </si>
  <si>
    <t>Belgium</t>
  </si>
  <si>
    <t>Brazil</t>
  </si>
  <si>
    <t>Bulgaria</t>
  </si>
  <si>
    <t>Canada</t>
  </si>
  <si>
    <t>China</t>
  </si>
  <si>
    <t>Colombia</t>
  </si>
  <si>
    <t>Ecuador</t>
  </si>
  <si>
    <t>Egypt</t>
  </si>
  <si>
    <t>France</t>
  </si>
  <si>
    <t>Germany</t>
  </si>
  <si>
    <t>Greece</t>
  </si>
  <si>
    <t>Guatemala</t>
  </si>
  <si>
    <t>Hungary</t>
  </si>
  <si>
    <t>India</t>
  </si>
  <si>
    <t>Indonesia</t>
  </si>
  <si>
    <t>Italy</t>
  </si>
  <si>
    <t>Japan</t>
  </si>
  <si>
    <t>Mexico</t>
  </si>
  <si>
    <t>Netherlands</t>
  </si>
  <si>
    <t>Pakistan</t>
  </si>
  <si>
    <t>Poland</t>
  </si>
  <si>
    <t>Russia</t>
  </si>
  <si>
    <t>Spain</t>
  </si>
  <si>
    <t>Sweden</t>
  </si>
  <si>
    <t>Switzerland</t>
  </si>
  <si>
    <t>Thailand</t>
  </si>
  <si>
    <t>U.K.</t>
  </si>
  <si>
    <t>U.S.</t>
  </si>
  <si>
    <t>Venezuela</t>
  </si>
  <si>
    <t>Country</t>
  </si>
  <si>
    <t>Czech Republic</t>
  </si>
  <si>
    <t>Saudia Arabia</t>
  </si>
  <si>
    <t>South Africa</t>
  </si>
  <si>
    <t>PC</t>
  </si>
  <si>
    <t>Total</t>
  </si>
  <si>
    <t>Mean</t>
  </si>
  <si>
    <t>Formula</t>
  </si>
  <si>
    <t>xi=Xi-Xm</t>
  </si>
  <si>
    <t>yi.xi</t>
  </si>
  <si>
    <t>Per Capita Income(Xi)</t>
  </si>
  <si>
    <t>xi^2</t>
  </si>
  <si>
    <t>B2</t>
  </si>
  <si>
    <t>Cellphones(Yi=yi)</t>
  </si>
  <si>
    <t>B1</t>
  </si>
  <si>
    <t>Ym-B2*Xm</t>
  </si>
  <si>
    <t>sum(yi.xi)/sum(xi^2)</t>
  </si>
  <si>
    <t>Values</t>
  </si>
  <si>
    <t>Formulaes</t>
  </si>
  <si>
    <t>Y=B1+B2X+Ui</t>
  </si>
  <si>
    <t>b^2</t>
  </si>
  <si>
    <t>ui</t>
  </si>
  <si>
    <t>ui^2</t>
  </si>
  <si>
    <t>var(B2)</t>
  </si>
  <si>
    <t>sum(ui^2)/n-2</t>
  </si>
  <si>
    <t>b^2/sum(xi^2)</t>
  </si>
  <si>
    <t>Standard Error</t>
  </si>
  <si>
    <t>se(B2)</t>
  </si>
  <si>
    <t>sqrt(var(B2))</t>
  </si>
  <si>
    <t>r^2</t>
  </si>
  <si>
    <t>1-{b^2/sum[(Yi-Y)^2]}</t>
  </si>
  <si>
    <t>yi-Ym</t>
  </si>
  <si>
    <t>(yi-Ym)^2</t>
  </si>
  <si>
    <t>se stands for</t>
  </si>
  <si>
    <t>r</t>
  </si>
  <si>
    <t>root(r^2)</t>
  </si>
  <si>
    <t>yi=Yi</t>
  </si>
  <si>
    <t>n stands for the number of obeservations</t>
  </si>
  <si>
    <t>var(B1)</t>
  </si>
  <si>
    <t>sum(xi^2)/n*sum(xi^2)</t>
  </si>
  <si>
    <t>se(B1)</t>
  </si>
  <si>
    <t>root(var(B1))</t>
  </si>
  <si>
    <t>Y=14.47+0.0022*X</t>
  </si>
  <si>
    <t>Final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</si>
</sst>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0" xfId="0" applyFont="1"/>
    <xf numFmtId="0" fontId="3" fillId="0" borderId="0" xfId="0" applyFont="1"/>
    <xf numFmtId="0" fontId="2" fillId="0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Fill="1" applyBorder="1"/>
    <xf numFmtId="0" fontId="6" fillId="2" borderId="0" xfId="0" applyFont="1" applyFill="1"/>
    <xf numFmtId="0" fontId="0" fillId="2" borderId="0" xfId="0" applyFill="1"/>
    <xf numFmtId="2" fontId="0" fillId="0" borderId="0" xfId="0" applyNumberFormat="1"/>
    <xf numFmtId="2" fontId="2" fillId="0" borderId="1" xfId="0" applyNumberFormat="1" applyFont="1" applyBorder="1"/>
    <xf numFmtId="2" fontId="5" fillId="0" borderId="1" xfId="0" applyNumberFormat="1" applyFont="1" applyFill="1" applyBorder="1"/>
    <xf numFmtId="2" fontId="0" fillId="0" borderId="1" xfId="0" applyNumberFormat="1" applyBorder="1"/>
    <xf numFmtId="2" fontId="1" fillId="0" borderId="0" xfId="0" applyNumberFormat="1" applyFont="1"/>
    <xf numFmtId="0" fontId="1" fillId="3" borderId="0" xfId="0" applyFont="1" applyFill="1"/>
    <xf numFmtId="2" fontId="1" fillId="3" borderId="0" xfId="0" applyNumberFormat="1" applyFont="1" applyFill="1"/>
    <xf numFmtId="0" fontId="1" fillId="4" borderId="0" xfId="0" applyFont="1" applyFill="1"/>
    <xf numFmtId="0" fontId="0" fillId="4" borderId="0" xfId="0" applyFill="1"/>
    <xf numFmtId="2" fontId="1" fillId="4" borderId="0" xfId="0" applyNumberFormat="1" applyFont="1" applyFill="1"/>
    <xf numFmtId="0" fontId="1" fillId="5" borderId="0" xfId="0" applyFont="1" applyFill="1"/>
    <xf numFmtId="0" fontId="0" fillId="5" borderId="0" xfId="0" applyFill="1"/>
    <xf numFmtId="0" fontId="7" fillId="0" borderId="0" xfId="0" applyFont="1"/>
    <xf numFmtId="0" fontId="1" fillId="6" borderId="0" xfId="0" applyFont="1" applyFill="1"/>
    <xf numFmtId="0" fontId="8" fillId="3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J1" sqref="J1"/>
    </sheetView>
  </sheetViews>
  <sheetFormatPr defaultRowHeight="15" x14ac:dyDescent="0.25"/>
  <cols>
    <col min="1" max="1" width="30.42578125" bestFit="1" customWidth="1"/>
    <col min="2" max="2" width="16.85546875" bestFit="1" customWidth="1"/>
    <col min="3" max="3" width="7" hidden="1" customWidth="1"/>
    <col min="4" max="4" width="20" customWidth="1"/>
    <col min="5" max="5" width="20.28515625" bestFit="1" customWidth="1"/>
    <col min="6" max="6" width="12" bestFit="1" customWidth="1"/>
    <col min="7" max="7" width="21.85546875" bestFit="1" customWidth="1"/>
    <col min="8" max="8" width="13.7109375" bestFit="1" customWidth="1"/>
    <col min="10" max="10" width="38.42578125" bestFit="1" customWidth="1"/>
  </cols>
  <sheetData>
    <row r="1" spans="1:11" x14ac:dyDescent="0.25">
      <c r="A1" s="7" t="s">
        <v>31</v>
      </c>
      <c r="B1" s="7" t="s">
        <v>44</v>
      </c>
      <c r="C1" s="7" t="s">
        <v>35</v>
      </c>
      <c r="D1" s="7" t="s">
        <v>41</v>
      </c>
      <c r="E1" s="7" t="s">
        <v>39</v>
      </c>
      <c r="F1" s="7" t="s">
        <v>42</v>
      </c>
      <c r="G1" s="8" t="s">
        <v>40</v>
      </c>
      <c r="H1" s="13" t="s">
        <v>52</v>
      </c>
      <c r="I1" s="8" t="s">
        <v>53</v>
      </c>
      <c r="J1" s="8" t="s">
        <v>62</v>
      </c>
      <c r="K1" s="8" t="s">
        <v>63</v>
      </c>
    </row>
    <row r="2" spans="1:11" x14ac:dyDescent="0.25">
      <c r="A2" s="1" t="s">
        <v>0</v>
      </c>
      <c r="B2" s="1">
        <v>17.760000000000002</v>
      </c>
      <c r="C2" s="1">
        <v>8.1999999999999993</v>
      </c>
      <c r="D2" s="1">
        <v>11410</v>
      </c>
      <c r="E2" s="1">
        <f>D2-$D$38</f>
        <v>-4409.8647058823535</v>
      </c>
      <c r="F2" s="1">
        <f>E2*E2</f>
        <v>19446906.724186856</v>
      </c>
      <c r="G2" s="1">
        <f>B2*E2</f>
        <v>-78319.19717647061</v>
      </c>
      <c r="H2" s="14">
        <f>B2-$B$38</f>
        <v>-31.813823529411753</v>
      </c>
      <c r="I2" s="14">
        <f>H2*H2</f>
        <v>1012.1193675605529</v>
      </c>
      <c r="J2" s="1">
        <v>-31.813823529411753</v>
      </c>
      <c r="K2" s="1">
        <f>J2*J2</f>
        <v>1012.1193675605529</v>
      </c>
    </row>
    <row r="3" spans="1:11" x14ac:dyDescent="0.25">
      <c r="A3" s="1" t="s">
        <v>1</v>
      </c>
      <c r="B3" s="1">
        <v>71.95</v>
      </c>
      <c r="C3" s="1">
        <v>60.18</v>
      </c>
      <c r="D3" s="1">
        <v>28780</v>
      </c>
      <c r="E3" s="1">
        <f>D3-$D$38</f>
        <v>12960.135294117646</v>
      </c>
      <c r="F3" s="1">
        <f t="shared" ref="F3:F35" si="0">E3*E3</f>
        <v>167965106.84183389</v>
      </c>
      <c r="G3" s="1">
        <f t="shared" ref="G3:G35" si="1">B3*E3</f>
        <v>932481.73441176466</v>
      </c>
      <c r="H3" s="14">
        <f t="shared" ref="H3:H35" si="2">B3-$B$38</f>
        <v>22.376176470588248</v>
      </c>
      <c r="I3" s="14">
        <f t="shared" ref="I3:I35" si="3">H3*H3</f>
        <v>500.69327344290718</v>
      </c>
      <c r="J3" s="1">
        <v>22.376176470588248</v>
      </c>
      <c r="K3" s="1">
        <f t="shared" ref="K3:K35" si="4">J3*J3</f>
        <v>500.69327344290718</v>
      </c>
    </row>
    <row r="4" spans="1:11" x14ac:dyDescent="0.25">
      <c r="A4" s="1" t="s">
        <v>2</v>
      </c>
      <c r="B4" s="1">
        <v>79.28</v>
      </c>
      <c r="C4" s="1">
        <v>31.81</v>
      </c>
      <c r="D4" s="1">
        <v>28920</v>
      </c>
      <c r="E4" s="1">
        <f t="shared" ref="E4:E35" si="5">D4-$D$38</f>
        <v>13100.135294117646</v>
      </c>
      <c r="F4" s="1">
        <f t="shared" si="0"/>
        <v>171613544.72418684</v>
      </c>
      <c r="G4" s="1">
        <f t="shared" si="1"/>
        <v>1038578.726117647</v>
      </c>
      <c r="H4" s="14">
        <f t="shared" si="2"/>
        <v>29.706176470588247</v>
      </c>
      <c r="I4" s="14">
        <f t="shared" si="3"/>
        <v>882.45692050173079</v>
      </c>
      <c r="J4" s="1">
        <v>29.706176470588247</v>
      </c>
      <c r="K4" s="1">
        <f t="shared" si="4"/>
        <v>882.45692050173079</v>
      </c>
    </row>
    <row r="5" spans="1:11" x14ac:dyDescent="0.25">
      <c r="A5" s="1" t="s">
        <v>3</v>
      </c>
      <c r="B5" s="1">
        <v>26.36</v>
      </c>
      <c r="C5" s="1">
        <v>7.48</v>
      </c>
      <c r="D5" s="1">
        <v>7510</v>
      </c>
      <c r="E5" s="1">
        <f t="shared" si="5"/>
        <v>-8309.8647058823535</v>
      </c>
      <c r="F5" s="1">
        <f t="shared" si="0"/>
        <v>69053851.430069208</v>
      </c>
      <c r="G5" s="1">
        <f t="shared" si="1"/>
        <v>-219048.03364705882</v>
      </c>
      <c r="H5" s="14">
        <f t="shared" si="2"/>
        <v>-23.213823529411755</v>
      </c>
      <c r="I5" s="14">
        <f t="shared" si="3"/>
        <v>538.88160285467086</v>
      </c>
      <c r="J5" s="1">
        <v>-23.213823529411755</v>
      </c>
      <c r="K5" s="1">
        <f t="shared" si="4"/>
        <v>538.88160285467086</v>
      </c>
    </row>
    <row r="6" spans="1:11" x14ac:dyDescent="0.25">
      <c r="A6" s="1" t="s">
        <v>4</v>
      </c>
      <c r="B6" s="1">
        <v>46.64</v>
      </c>
      <c r="C6" s="1">
        <v>5.19</v>
      </c>
      <c r="D6" s="1">
        <v>75.400000000000006</v>
      </c>
      <c r="E6" s="1">
        <f t="shared" si="5"/>
        <v>-15744.464705882354</v>
      </c>
      <c r="F6" s="1">
        <f t="shared" si="0"/>
        <v>247888168.87477511</v>
      </c>
      <c r="G6" s="1">
        <f t="shared" si="1"/>
        <v>-734321.83388235304</v>
      </c>
      <c r="H6" s="14">
        <f t="shared" si="2"/>
        <v>-2.9338235294117538</v>
      </c>
      <c r="I6" s="14">
        <f t="shared" si="3"/>
        <v>8.6073205017300403</v>
      </c>
      <c r="J6" s="1">
        <v>-2.9338235294117538</v>
      </c>
      <c r="K6" s="1">
        <f t="shared" si="4"/>
        <v>8.6073205017300403</v>
      </c>
    </row>
    <row r="7" spans="1:11" x14ac:dyDescent="0.25">
      <c r="A7" s="1" t="s">
        <v>5</v>
      </c>
      <c r="B7" s="1">
        <v>41.9</v>
      </c>
      <c r="C7" s="1">
        <v>48.7</v>
      </c>
      <c r="D7" s="1">
        <v>30040</v>
      </c>
      <c r="E7" s="1">
        <f t="shared" si="5"/>
        <v>14220.135294117646</v>
      </c>
      <c r="F7" s="1">
        <f t="shared" si="0"/>
        <v>202212247.78301036</v>
      </c>
      <c r="G7" s="1">
        <f t="shared" si="1"/>
        <v>595823.66882352938</v>
      </c>
      <c r="H7" s="14">
        <f t="shared" si="2"/>
        <v>-7.6738235294117558</v>
      </c>
      <c r="I7" s="14">
        <f t="shared" si="3"/>
        <v>58.887567560553499</v>
      </c>
      <c r="J7" s="1">
        <v>-7.6738235294117558</v>
      </c>
      <c r="K7" s="1">
        <f t="shared" si="4"/>
        <v>58.887567560553499</v>
      </c>
    </row>
    <row r="8" spans="1:11" x14ac:dyDescent="0.25">
      <c r="A8" s="1" t="s">
        <v>6</v>
      </c>
      <c r="B8" s="1">
        <v>21.48</v>
      </c>
      <c r="C8" s="1">
        <v>2.76</v>
      </c>
      <c r="D8" s="1">
        <v>4980</v>
      </c>
      <c r="E8" s="1">
        <f t="shared" si="5"/>
        <v>-10839.864705882354</v>
      </c>
      <c r="F8" s="1">
        <f t="shared" si="0"/>
        <v>117502666.84183392</v>
      </c>
      <c r="G8" s="1">
        <f t="shared" si="1"/>
        <v>-232840.29388235297</v>
      </c>
      <c r="H8" s="14">
        <f t="shared" si="2"/>
        <v>-28.093823529411754</v>
      </c>
      <c r="I8" s="14">
        <f t="shared" si="3"/>
        <v>789.26292050172947</v>
      </c>
      <c r="J8" s="1">
        <v>-28.093823529411754</v>
      </c>
      <c r="K8" s="1">
        <f t="shared" si="4"/>
        <v>789.26292050172947</v>
      </c>
    </row>
    <row r="9" spans="1:11" x14ac:dyDescent="0.25">
      <c r="A9" s="1" t="s">
        <v>7</v>
      </c>
      <c r="B9" s="1">
        <v>14.13</v>
      </c>
      <c r="C9" s="1">
        <v>4.93</v>
      </c>
      <c r="D9" s="1">
        <v>6410</v>
      </c>
      <c r="E9" s="1">
        <f t="shared" si="5"/>
        <v>-9409.8647058823535</v>
      </c>
      <c r="F9" s="1">
        <f t="shared" si="0"/>
        <v>88545553.783010393</v>
      </c>
      <c r="G9" s="1">
        <f t="shared" si="1"/>
        <v>-132961.38829411767</v>
      </c>
      <c r="H9" s="14">
        <f t="shared" si="2"/>
        <v>-35.443823529411752</v>
      </c>
      <c r="I9" s="14">
        <f t="shared" si="3"/>
        <v>1256.264626384082</v>
      </c>
      <c r="J9" s="1">
        <v>-35.443823529411752</v>
      </c>
      <c r="K9" s="1">
        <f t="shared" si="4"/>
        <v>1256.264626384082</v>
      </c>
    </row>
    <row r="10" spans="1:11" x14ac:dyDescent="0.25">
      <c r="A10" s="1" t="s">
        <v>32</v>
      </c>
      <c r="B10" s="1">
        <v>96.46</v>
      </c>
      <c r="C10" s="1">
        <v>17.739999999999998</v>
      </c>
      <c r="D10" s="1">
        <v>15600</v>
      </c>
      <c r="E10" s="1">
        <f t="shared" si="5"/>
        <v>-219.86470588235352</v>
      </c>
      <c r="F10" s="1">
        <f t="shared" si="0"/>
        <v>48340.488892733818</v>
      </c>
      <c r="G10" s="1">
        <f t="shared" si="1"/>
        <v>-21208.149529411818</v>
      </c>
      <c r="H10" s="14">
        <f t="shared" si="2"/>
        <v>46.886176470588239</v>
      </c>
      <c r="I10" s="14">
        <f t="shared" si="3"/>
        <v>2198.3135440311421</v>
      </c>
      <c r="J10" s="1">
        <v>46.886176470588239</v>
      </c>
      <c r="K10" s="1">
        <f t="shared" si="4"/>
        <v>2198.3135440311421</v>
      </c>
    </row>
    <row r="11" spans="1:11" x14ac:dyDescent="0.25">
      <c r="A11" s="1" t="s">
        <v>8</v>
      </c>
      <c r="B11" s="1">
        <v>18.920000000000002</v>
      </c>
      <c r="C11" s="1">
        <v>3.24</v>
      </c>
      <c r="D11" s="1">
        <v>3940</v>
      </c>
      <c r="E11" s="1">
        <f t="shared" si="5"/>
        <v>-11879.864705882354</v>
      </c>
      <c r="F11" s="1">
        <f t="shared" si="0"/>
        <v>141131185.43006921</v>
      </c>
      <c r="G11" s="1">
        <f t="shared" si="1"/>
        <v>-224767.04023529415</v>
      </c>
      <c r="H11" s="14">
        <f t="shared" si="2"/>
        <v>-30.653823529411753</v>
      </c>
      <c r="I11" s="14">
        <f t="shared" si="3"/>
        <v>939.65689697231755</v>
      </c>
      <c r="J11" s="1">
        <v>-30.653823529411753</v>
      </c>
      <c r="K11" s="1">
        <f t="shared" si="4"/>
        <v>939.65689697231755</v>
      </c>
    </row>
    <row r="12" spans="1:11" x14ac:dyDescent="0.25">
      <c r="A12" s="1" t="s">
        <v>9</v>
      </c>
      <c r="B12" s="1">
        <v>8.4499999999999993</v>
      </c>
      <c r="C12" s="1">
        <v>2.91</v>
      </c>
      <c r="D12" s="1">
        <v>3940</v>
      </c>
      <c r="E12" s="1">
        <f t="shared" si="5"/>
        <v>-11879.864705882354</v>
      </c>
      <c r="F12" s="1">
        <f t="shared" si="0"/>
        <v>141131185.43006921</v>
      </c>
      <c r="G12" s="1">
        <f t="shared" si="1"/>
        <v>-100384.85676470588</v>
      </c>
      <c r="H12" s="14">
        <f t="shared" si="2"/>
        <v>-41.123823529411752</v>
      </c>
      <c r="I12" s="14">
        <f t="shared" si="3"/>
        <v>1691.1688616781996</v>
      </c>
      <c r="J12" s="1">
        <v>-41.123823529411752</v>
      </c>
      <c r="K12" s="1">
        <f t="shared" si="4"/>
        <v>1691.1688616781996</v>
      </c>
    </row>
    <row r="13" spans="1:11" x14ac:dyDescent="0.25">
      <c r="A13" s="1" t="s">
        <v>10</v>
      </c>
      <c r="B13" s="1">
        <v>69.59</v>
      </c>
      <c r="C13" s="1">
        <v>34.71</v>
      </c>
      <c r="D13" s="1">
        <v>27640</v>
      </c>
      <c r="E13" s="1">
        <f t="shared" si="5"/>
        <v>11820.135294117646</v>
      </c>
      <c r="F13" s="1">
        <f t="shared" si="0"/>
        <v>139715598.37124565</v>
      </c>
      <c r="G13" s="1">
        <f t="shared" si="1"/>
        <v>822563.21511764708</v>
      </c>
      <c r="H13" s="14">
        <f t="shared" si="2"/>
        <v>20.016176470588249</v>
      </c>
      <c r="I13" s="14">
        <f t="shared" si="3"/>
        <v>400.64732050173063</v>
      </c>
      <c r="J13" s="1">
        <v>20.016176470588249</v>
      </c>
      <c r="K13" s="1">
        <f t="shared" si="4"/>
        <v>400.64732050173063</v>
      </c>
    </row>
    <row r="14" spans="1:11" x14ac:dyDescent="0.25">
      <c r="A14" s="1" t="s">
        <v>11</v>
      </c>
      <c r="B14" s="1">
        <v>78.52</v>
      </c>
      <c r="C14" s="1">
        <v>48.47</v>
      </c>
      <c r="D14" s="1">
        <v>27610</v>
      </c>
      <c r="E14" s="1">
        <f t="shared" si="5"/>
        <v>11790.135294117646</v>
      </c>
      <c r="F14" s="1">
        <f t="shared" si="0"/>
        <v>139007290.2535986</v>
      </c>
      <c r="G14" s="1">
        <f t="shared" si="1"/>
        <v>925761.42329411756</v>
      </c>
      <c r="H14" s="14">
        <f t="shared" si="2"/>
        <v>28.946176470588242</v>
      </c>
      <c r="I14" s="14">
        <f t="shared" si="3"/>
        <v>837.88113226643634</v>
      </c>
      <c r="J14" s="1">
        <v>28.946176470588242</v>
      </c>
      <c r="K14" s="1">
        <f t="shared" si="4"/>
        <v>837.88113226643634</v>
      </c>
    </row>
    <row r="15" spans="1:11" x14ac:dyDescent="0.25">
      <c r="A15" s="1" t="s">
        <v>12</v>
      </c>
      <c r="B15" s="1">
        <v>90.23</v>
      </c>
      <c r="C15" s="1">
        <v>8.17</v>
      </c>
      <c r="D15" s="1">
        <v>19900</v>
      </c>
      <c r="E15" s="1">
        <f t="shared" si="5"/>
        <v>4080.1352941176465</v>
      </c>
      <c r="F15" s="1">
        <f t="shared" si="0"/>
        <v>16647504.018304493</v>
      </c>
      <c r="G15" s="1">
        <f t="shared" si="1"/>
        <v>368150.60758823523</v>
      </c>
      <c r="H15" s="14">
        <f t="shared" si="2"/>
        <v>40.65617647058825</v>
      </c>
      <c r="I15" s="14">
        <f t="shared" si="3"/>
        <v>1652.9246852076137</v>
      </c>
      <c r="J15" s="1">
        <v>40.65617647058825</v>
      </c>
      <c r="K15" s="1">
        <f t="shared" si="4"/>
        <v>1652.9246852076137</v>
      </c>
    </row>
    <row r="16" spans="1:11" x14ac:dyDescent="0.25">
      <c r="A16" s="1" t="s">
        <v>13</v>
      </c>
      <c r="B16" s="1">
        <v>13.15</v>
      </c>
      <c r="C16" s="1">
        <v>1.44</v>
      </c>
      <c r="D16" s="1">
        <v>4090</v>
      </c>
      <c r="E16" s="1">
        <f t="shared" si="5"/>
        <v>-11729.864705882354</v>
      </c>
      <c r="F16" s="1">
        <f t="shared" si="0"/>
        <v>137589726.0183045</v>
      </c>
      <c r="G16" s="1">
        <f t="shared" si="1"/>
        <v>-154247.72088235297</v>
      </c>
      <c r="H16" s="14">
        <f t="shared" si="2"/>
        <v>-36.423823529411756</v>
      </c>
      <c r="I16" s="14">
        <f t="shared" si="3"/>
        <v>1326.6949205017295</v>
      </c>
      <c r="J16" s="1">
        <v>-36.423823529411756</v>
      </c>
      <c r="K16" s="1">
        <f t="shared" si="4"/>
        <v>1326.6949205017295</v>
      </c>
    </row>
    <row r="17" spans="1:11" x14ac:dyDescent="0.25">
      <c r="A17" s="1" t="s">
        <v>14</v>
      </c>
      <c r="B17" s="1">
        <v>76.88</v>
      </c>
      <c r="C17" s="1">
        <v>10.84</v>
      </c>
      <c r="D17" s="1">
        <v>13840</v>
      </c>
      <c r="E17" s="1">
        <f t="shared" si="5"/>
        <v>-1979.8647058823535</v>
      </c>
      <c r="F17" s="1">
        <f t="shared" si="0"/>
        <v>3919864.2535986183</v>
      </c>
      <c r="G17" s="1">
        <f t="shared" si="1"/>
        <v>-152211.99858823532</v>
      </c>
      <c r="H17" s="14">
        <f t="shared" si="2"/>
        <v>27.306176470588241</v>
      </c>
      <c r="I17" s="14">
        <f t="shared" si="3"/>
        <v>745.62727344290693</v>
      </c>
      <c r="J17" s="1">
        <v>27.306176470588241</v>
      </c>
      <c r="K17" s="1">
        <f t="shared" si="4"/>
        <v>745.62727344290693</v>
      </c>
    </row>
    <row r="18" spans="1:11" x14ac:dyDescent="0.25">
      <c r="A18" s="1" t="s">
        <v>15</v>
      </c>
      <c r="B18" s="1">
        <v>2.4700000000000002</v>
      </c>
      <c r="C18" s="1">
        <v>0.72</v>
      </c>
      <c r="D18" s="1">
        <v>2880</v>
      </c>
      <c r="E18" s="1">
        <f t="shared" si="5"/>
        <v>-12939.864705882354</v>
      </c>
      <c r="F18" s="1">
        <f t="shared" si="0"/>
        <v>167440098.60653982</v>
      </c>
      <c r="G18" s="1">
        <f t="shared" si="1"/>
        <v>-31961.465823529416</v>
      </c>
      <c r="H18" s="14">
        <f t="shared" si="2"/>
        <v>-47.103823529411756</v>
      </c>
      <c r="I18" s="14">
        <f t="shared" si="3"/>
        <v>2218.7701910899646</v>
      </c>
      <c r="J18" s="1">
        <v>-47.103823529411756</v>
      </c>
      <c r="K18" s="1">
        <f t="shared" si="4"/>
        <v>2218.7701910899646</v>
      </c>
    </row>
    <row r="19" spans="1:11" x14ac:dyDescent="0.25">
      <c r="A19" s="1" t="s">
        <v>16</v>
      </c>
      <c r="B19" s="1">
        <v>8.74</v>
      </c>
      <c r="C19" s="1">
        <v>1.19</v>
      </c>
      <c r="D19" s="1">
        <v>3210</v>
      </c>
      <c r="E19" s="1">
        <f t="shared" si="5"/>
        <v>-12609.864705882354</v>
      </c>
      <c r="F19" s="1">
        <f t="shared" si="0"/>
        <v>159008687.90065745</v>
      </c>
      <c r="G19" s="1">
        <f t="shared" si="1"/>
        <v>-110210.21752941178</v>
      </c>
      <c r="H19" s="14">
        <f t="shared" si="2"/>
        <v>-40.833823529411752</v>
      </c>
      <c r="I19" s="14">
        <f t="shared" si="3"/>
        <v>1667.4011440311408</v>
      </c>
      <c r="J19" s="1">
        <v>-40.833823529411752</v>
      </c>
      <c r="K19" s="1">
        <f t="shared" si="4"/>
        <v>1667.4011440311408</v>
      </c>
    </row>
    <row r="20" spans="1:11" x14ac:dyDescent="0.25">
      <c r="A20" s="1" t="s">
        <v>17</v>
      </c>
      <c r="B20" s="1">
        <v>101.76</v>
      </c>
      <c r="C20" s="1">
        <v>23.07</v>
      </c>
      <c r="D20" s="2">
        <v>26830</v>
      </c>
      <c r="E20" s="1">
        <f t="shared" si="5"/>
        <v>11010.135294117646</v>
      </c>
      <c r="F20" s="1">
        <f t="shared" si="0"/>
        <v>121223079.19477507</v>
      </c>
      <c r="G20" s="1">
        <f t="shared" si="1"/>
        <v>1120391.3675294118</v>
      </c>
      <c r="H20" s="14">
        <f t="shared" si="2"/>
        <v>52.186176470588251</v>
      </c>
      <c r="I20" s="14">
        <f t="shared" si="3"/>
        <v>2723.3970146193788</v>
      </c>
      <c r="J20" s="1">
        <v>52.186176470588251</v>
      </c>
      <c r="K20" s="1">
        <f t="shared" si="4"/>
        <v>2723.3970146193788</v>
      </c>
    </row>
    <row r="21" spans="1:11" x14ac:dyDescent="0.25">
      <c r="A21" s="1" t="s">
        <v>18</v>
      </c>
      <c r="B21" s="1">
        <v>67.900000000000006</v>
      </c>
      <c r="C21" s="1">
        <v>38.22</v>
      </c>
      <c r="D21" s="1">
        <v>28450</v>
      </c>
      <c r="E21" s="1">
        <f t="shared" si="5"/>
        <v>12630.135294117646</v>
      </c>
      <c r="F21" s="1">
        <f t="shared" si="0"/>
        <v>159520317.54771626</v>
      </c>
      <c r="G21" s="1">
        <f t="shared" si="1"/>
        <v>857586.18647058832</v>
      </c>
      <c r="H21" s="14">
        <f t="shared" si="2"/>
        <v>18.326176470588251</v>
      </c>
      <c r="I21" s="14">
        <f t="shared" si="3"/>
        <v>335.84874403114247</v>
      </c>
      <c r="J21" s="1">
        <v>18.326176470588251</v>
      </c>
      <c r="K21" s="1">
        <f t="shared" si="4"/>
        <v>335.84874403114247</v>
      </c>
    </row>
    <row r="22" spans="1:11" x14ac:dyDescent="0.25">
      <c r="A22" s="1" t="s">
        <v>19</v>
      </c>
      <c r="B22" s="1">
        <v>29.47</v>
      </c>
      <c r="C22" s="1">
        <v>8.3000000000000007</v>
      </c>
      <c r="D22" s="1">
        <v>8980</v>
      </c>
      <c r="E22" s="1">
        <f t="shared" si="5"/>
        <v>-6839.8647058823535</v>
      </c>
      <c r="F22" s="1">
        <f t="shared" si="0"/>
        <v>46783749.194775097</v>
      </c>
      <c r="G22" s="1">
        <f t="shared" si="1"/>
        <v>-201570.81288235294</v>
      </c>
      <c r="H22" s="14">
        <f t="shared" si="2"/>
        <v>-20.103823529411756</v>
      </c>
      <c r="I22" s="14">
        <f t="shared" si="3"/>
        <v>404.16372050172976</v>
      </c>
      <c r="J22" s="1">
        <v>-20.103823529411756</v>
      </c>
      <c r="K22" s="1">
        <f t="shared" si="4"/>
        <v>404.16372050172976</v>
      </c>
    </row>
    <row r="23" spans="1:11" x14ac:dyDescent="0.25">
      <c r="A23" s="1" t="s">
        <v>20</v>
      </c>
      <c r="B23" s="1">
        <v>76.760000000000005</v>
      </c>
      <c r="C23" s="1">
        <v>46.66</v>
      </c>
      <c r="D23" s="1">
        <v>28560</v>
      </c>
      <c r="E23" s="1">
        <f t="shared" si="5"/>
        <v>12740.135294117646</v>
      </c>
      <c r="F23" s="1">
        <f t="shared" si="0"/>
        <v>162311047.31242213</v>
      </c>
      <c r="G23" s="1">
        <f t="shared" si="1"/>
        <v>977932.78517647064</v>
      </c>
      <c r="H23" s="14">
        <f t="shared" si="2"/>
        <v>27.186176470588251</v>
      </c>
      <c r="I23" s="14">
        <f t="shared" si="3"/>
        <v>739.08819108996624</v>
      </c>
      <c r="J23" s="1">
        <v>27.186176470588251</v>
      </c>
      <c r="K23" s="1">
        <f t="shared" si="4"/>
        <v>739.08819108996624</v>
      </c>
    </row>
    <row r="24" spans="1:11" x14ac:dyDescent="0.25">
      <c r="A24" s="1" t="s">
        <v>21</v>
      </c>
      <c r="B24" s="1">
        <v>1.75</v>
      </c>
      <c r="C24" s="1">
        <v>0.42</v>
      </c>
      <c r="D24" s="1">
        <v>2040</v>
      </c>
      <c r="E24" s="1">
        <f t="shared" si="5"/>
        <v>-13779.864705882354</v>
      </c>
      <c r="F24" s="1">
        <f t="shared" si="0"/>
        <v>189884671.31242216</v>
      </c>
      <c r="G24" s="1">
        <f t="shared" si="1"/>
        <v>-24114.763235294118</v>
      </c>
      <c r="H24" s="14">
        <f t="shared" si="2"/>
        <v>-47.823823529411754</v>
      </c>
      <c r="I24" s="14">
        <f t="shared" si="3"/>
        <v>2287.1180969723173</v>
      </c>
      <c r="J24" s="1">
        <v>-47.823823529411754</v>
      </c>
      <c r="K24" s="1">
        <f t="shared" si="4"/>
        <v>2287.1180969723173</v>
      </c>
    </row>
    <row r="25" spans="1:11" x14ac:dyDescent="0.25">
      <c r="A25" s="1" t="s">
        <v>22</v>
      </c>
      <c r="B25" s="1">
        <v>45.09</v>
      </c>
      <c r="C25" s="1">
        <v>14.2</v>
      </c>
      <c r="D25" s="1">
        <v>11210</v>
      </c>
      <c r="E25" s="1">
        <f t="shared" si="5"/>
        <v>-4609.8647058823535</v>
      </c>
      <c r="F25" s="1">
        <f t="shared" si="0"/>
        <v>21250852.606539797</v>
      </c>
      <c r="G25" s="1">
        <f t="shared" si="1"/>
        <v>-207858.79958823533</v>
      </c>
      <c r="H25" s="14">
        <f t="shared" si="2"/>
        <v>-4.483823529411751</v>
      </c>
      <c r="I25" s="14">
        <f t="shared" si="3"/>
        <v>20.104673442906453</v>
      </c>
      <c r="J25" s="1">
        <v>-4.483823529411751</v>
      </c>
      <c r="K25" s="1">
        <f t="shared" si="4"/>
        <v>20.104673442906453</v>
      </c>
    </row>
    <row r="26" spans="1:11" x14ac:dyDescent="0.25">
      <c r="A26" s="1" t="s">
        <v>23</v>
      </c>
      <c r="B26" s="1">
        <v>24.93</v>
      </c>
      <c r="C26" s="1">
        <v>8.8699999999999992</v>
      </c>
      <c r="D26" s="1">
        <v>8950</v>
      </c>
      <c r="E26" s="1">
        <f t="shared" si="5"/>
        <v>-6869.8647058823535</v>
      </c>
      <c r="F26" s="1">
        <f t="shared" si="0"/>
        <v>47195041.077128038</v>
      </c>
      <c r="G26" s="1">
        <f t="shared" si="1"/>
        <v>-171265.72711764707</v>
      </c>
      <c r="H26" s="14">
        <f t="shared" si="2"/>
        <v>-24.643823529411755</v>
      </c>
      <c r="I26" s="14">
        <f t="shared" si="3"/>
        <v>607.31803814878845</v>
      </c>
      <c r="J26" s="1">
        <v>-24.643823529411755</v>
      </c>
      <c r="K26" s="1">
        <f t="shared" si="4"/>
        <v>607.31803814878845</v>
      </c>
    </row>
    <row r="27" spans="1:11" x14ac:dyDescent="0.25">
      <c r="A27" s="1" t="s">
        <v>33</v>
      </c>
      <c r="B27" s="1">
        <v>32.11</v>
      </c>
      <c r="C27" s="1">
        <v>13.67</v>
      </c>
      <c r="D27" s="1">
        <v>13230</v>
      </c>
      <c r="E27" s="1">
        <f t="shared" si="5"/>
        <v>-2589.8647058823535</v>
      </c>
      <c r="F27" s="1">
        <f t="shared" si="0"/>
        <v>6707399.1947750896</v>
      </c>
      <c r="G27" s="1">
        <f t="shared" si="1"/>
        <v>-83160.555705882376</v>
      </c>
      <c r="H27" s="14">
        <f t="shared" si="2"/>
        <v>-17.463823529411755</v>
      </c>
      <c r="I27" s="14">
        <f t="shared" si="3"/>
        <v>304.98513226643564</v>
      </c>
      <c r="J27" s="1">
        <v>-17.463823529411755</v>
      </c>
      <c r="K27" s="1">
        <f t="shared" si="4"/>
        <v>304.98513226643564</v>
      </c>
    </row>
    <row r="28" spans="1:11" x14ac:dyDescent="0.25">
      <c r="A28" s="1" t="s">
        <v>34</v>
      </c>
      <c r="B28" s="1">
        <v>36.36</v>
      </c>
      <c r="C28" s="1">
        <v>7.26</v>
      </c>
      <c r="D28" s="1">
        <v>10130</v>
      </c>
      <c r="E28" s="1">
        <f t="shared" si="5"/>
        <v>-5689.8647058823535</v>
      </c>
      <c r="F28" s="1">
        <f t="shared" si="0"/>
        <v>32374560.371245682</v>
      </c>
      <c r="G28" s="1">
        <f t="shared" si="1"/>
        <v>-206883.48070588236</v>
      </c>
      <c r="H28" s="14">
        <f t="shared" si="2"/>
        <v>-13.213823529411755</v>
      </c>
      <c r="I28" s="14">
        <f t="shared" si="3"/>
        <v>174.60513226643573</v>
      </c>
      <c r="J28" s="1">
        <v>-13.213823529411755</v>
      </c>
      <c r="K28" s="1">
        <f t="shared" si="4"/>
        <v>174.60513226643573</v>
      </c>
    </row>
    <row r="29" spans="1:11" x14ac:dyDescent="0.25">
      <c r="A29" s="1" t="s">
        <v>24</v>
      </c>
      <c r="B29" s="1">
        <v>91.61</v>
      </c>
      <c r="C29" s="1">
        <v>19.600000000000001</v>
      </c>
      <c r="D29" s="1">
        <v>22150</v>
      </c>
      <c r="E29" s="1">
        <f t="shared" si="5"/>
        <v>6330.1352941176465</v>
      </c>
      <c r="F29" s="1">
        <f t="shared" si="0"/>
        <v>40070612.841833904</v>
      </c>
      <c r="G29" s="1">
        <f t="shared" si="1"/>
        <v>579903.69429411762</v>
      </c>
      <c r="H29" s="14">
        <f t="shared" si="2"/>
        <v>42.036176470588245</v>
      </c>
      <c r="I29" s="14">
        <f t="shared" si="3"/>
        <v>1767.0401322664368</v>
      </c>
      <c r="J29" s="1">
        <v>42.036176470588245</v>
      </c>
      <c r="K29" s="1">
        <f t="shared" si="4"/>
        <v>1767.0401322664368</v>
      </c>
    </row>
    <row r="30" spans="1:11" x14ac:dyDescent="0.25">
      <c r="A30" s="1" t="s">
        <v>25</v>
      </c>
      <c r="B30" s="1">
        <v>98.05</v>
      </c>
      <c r="C30" s="1">
        <v>62.13</v>
      </c>
      <c r="D30" s="1">
        <v>26710</v>
      </c>
      <c r="E30" s="1">
        <f t="shared" si="5"/>
        <v>10890.135294117646</v>
      </c>
      <c r="F30" s="1">
        <f t="shared" si="0"/>
        <v>118595046.72418684</v>
      </c>
      <c r="G30" s="1">
        <f t="shared" si="1"/>
        <v>1067777.7655882351</v>
      </c>
      <c r="H30" s="14">
        <f t="shared" si="2"/>
        <v>48.476176470588243</v>
      </c>
      <c r="I30" s="14">
        <f t="shared" si="3"/>
        <v>2349.9396852076134</v>
      </c>
      <c r="J30" s="1">
        <v>48.476176470588243</v>
      </c>
      <c r="K30" s="1">
        <f t="shared" si="4"/>
        <v>2349.9396852076134</v>
      </c>
    </row>
    <row r="31" spans="1:11" x14ac:dyDescent="0.25">
      <c r="A31" s="1" t="s">
        <v>26</v>
      </c>
      <c r="B31" s="1">
        <v>84.34</v>
      </c>
      <c r="C31" s="1">
        <v>70.87</v>
      </c>
      <c r="D31" s="1">
        <v>32220</v>
      </c>
      <c r="E31" s="1">
        <f t="shared" si="5"/>
        <v>16400.135294117645</v>
      </c>
      <c r="F31" s="1">
        <f t="shared" si="0"/>
        <v>268964437.66536325</v>
      </c>
      <c r="G31" s="1">
        <f t="shared" si="1"/>
        <v>1383187.4107058821</v>
      </c>
      <c r="H31" s="14">
        <f t="shared" si="2"/>
        <v>34.766176470588249</v>
      </c>
      <c r="I31" s="14">
        <f t="shared" si="3"/>
        <v>1208.687026384084</v>
      </c>
      <c r="J31" s="1">
        <v>34.766176470588249</v>
      </c>
      <c r="K31" s="1">
        <f t="shared" si="4"/>
        <v>1208.687026384084</v>
      </c>
    </row>
    <row r="32" spans="1:11" x14ac:dyDescent="0.25">
      <c r="A32" s="1" t="s">
        <v>27</v>
      </c>
      <c r="B32" s="1">
        <v>39.42</v>
      </c>
      <c r="C32" s="1">
        <v>3.98</v>
      </c>
      <c r="D32" s="1">
        <v>7450</v>
      </c>
      <c r="E32" s="1">
        <f t="shared" si="5"/>
        <v>-8369.8647058823535</v>
      </c>
      <c r="F32" s="1">
        <f t="shared" si="0"/>
        <v>70054635.19477509</v>
      </c>
      <c r="G32" s="1">
        <f t="shared" si="1"/>
        <v>-329940.06670588237</v>
      </c>
      <c r="H32" s="14">
        <f t="shared" si="2"/>
        <v>-10.153823529411753</v>
      </c>
      <c r="I32" s="14">
        <f t="shared" si="3"/>
        <v>103.10013226643574</v>
      </c>
      <c r="J32" s="1">
        <v>-10.153823529411753</v>
      </c>
      <c r="K32" s="1">
        <f t="shared" si="4"/>
        <v>103.10013226643574</v>
      </c>
    </row>
    <row r="33" spans="1:11" x14ac:dyDescent="0.25">
      <c r="A33" s="1" t="s">
        <v>28</v>
      </c>
      <c r="B33" s="1">
        <v>91.17</v>
      </c>
      <c r="C33" s="1">
        <v>40.57</v>
      </c>
      <c r="D33" s="1">
        <v>27690</v>
      </c>
      <c r="E33" s="1">
        <f t="shared" si="5"/>
        <v>11870.135294117646</v>
      </c>
      <c r="F33" s="1">
        <f t="shared" si="0"/>
        <v>140900111.90065742</v>
      </c>
      <c r="G33" s="1">
        <f t="shared" si="1"/>
        <v>1082200.2347647059</v>
      </c>
      <c r="H33" s="14">
        <f t="shared" si="2"/>
        <v>41.596176470588247</v>
      </c>
      <c r="I33" s="14">
        <f t="shared" si="3"/>
        <v>1730.2418969723194</v>
      </c>
      <c r="J33" s="1">
        <v>41.596176470588247</v>
      </c>
      <c r="K33" s="1">
        <f t="shared" si="4"/>
        <v>1730.2418969723194</v>
      </c>
    </row>
    <row r="34" spans="1:11" x14ac:dyDescent="0.25">
      <c r="A34" s="1" t="s">
        <v>29</v>
      </c>
      <c r="B34" s="1">
        <v>54.58</v>
      </c>
      <c r="C34" s="1">
        <v>65.98</v>
      </c>
      <c r="D34" s="1">
        <v>37750</v>
      </c>
      <c r="E34" s="1">
        <f t="shared" si="5"/>
        <v>21930.135294117645</v>
      </c>
      <c r="F34" s="1">
        <f t="shared" si="0"/>
        <v>480930834.01830441</v>
      </c>
      <c r="G34" s="1">
        <f t="shared" si="1"/>
        <v>1196946.784352941</v>
      </c>
      <c r="H34" s="14">
        <f t="shared" si="2"/>
        <v>5.0061764705882439</v>
      </c>
      <c r="I34" s="14">
        <f t="shared" si="3"/>
        <v>25.061802854671367</v>
      </c>
      <c r="J34" s="1">
        <v>5.0061764705882439</v>
      </c>
      <c r="K34" s="1">
        <f t="shared" si="4"/>
        <v>25.061802854671367</v>
      </c>
    </row>
    <row r="35" spans="1:11" x14ac:dyDescent="0.25">
      <c r="A35" s="1" t="s">
        <v>30</v>
      </c>
      <c r="B35" s="1">
        <v>27.3</v>
      </c>
      <c r="C35" s="1">
        <v>6.09</v>
      </c>
      <c r="D35" s="1">
        <v>4750</v>
      </c>
      <c r="E35" s="1">
        <f t="shared" si="5"/>
        <v>-11069.864705882354</v>
      </c>
      <c r="F35" s="1">
        <f t="shared" si="0"/>
        <v>122541904.6065398</v>
      </c>
      <c r="G35" s="1">
        <f t="shared" si="1"/>
        <v>-302207.30647058826</v>
      </c>
      <c r="H35" s="14">
        <f t="shared" si="2"/>
        <v>-22.273823529411754</v>
      </c>
      <c r="I35" s="14">
        <f t="shared" si="3"/>
        <v>496.12321461937665</v>
      </c>
      <c r="J35" s="1">
        <v>-22.273823529411754</v>
      </c>
      <c r="K35" s="1">
        <f t="shared" si="4"/>
        <v>496.12321461937665</v>
      </c>
    </row>
    <row r="36" spans="1:11" x14ac:dyDescent="0.25">
      <c r="A36" s="5" t="s">
        <v>36</v>
      </c>
      <c r="B36" s="6">
        <f>SUM(B2:B35)</f>
        <v>1685.5099999999995</v>
      </c>
      <c r="C36" s="6">
        <f t="shared" ref="C36:E36" si="6">SUM(C2:C35)</f>
        <v>728.57000000000028</v>
      </c>
      <c r="D36" s="6">
        <f t="shared" si="6"/>
        <v>537875.4</v>
      </c>
      <c r="E36" s="6">
        <f t="shared" si="6"/>
        <v>-4.0017766878008842E-11</v>
      </c>
      <c r="F36" s="6">
        <f>SUM(F2:F35)</f>
        <v>4159175828.5376477</v>
      </c>
      <c r="G36" s="6">
        <f>SUM(G2:G35)</f>
        <v>9229801.8955882341</v>
      </c>
      <c r="H36" s="12">
        <f>SUM(H2:H35)</f>
        <v>3.730349362740526E-13</v>
      </c>
      <c r="I36" s="12">
        <f t="shared" ref="I36:J36" si="7">SUM(I2:I35)</f>
        <v>34003.082202941179</v>
      </c>
      <c r="J36" s="12">
        <f t="shared" si="7"/>
        <v>3.730349362740526E-13</v>
      </c>
      <c r="K36" s="12">
        <f t="shared" ref="K36" si="8">SUM(K2:K35)</f>
        <v>34003.082202941179</v>
      </c>
    </row>
    <row r="38" spans="1:11" x14ac:dyDescent="0.25">
      <c r="A38" s="3" t="s">
        <v>37</v>
      </c>
      <c r="B38" s="3">
        <f>B36/COUNT(B2:B35)</f>
        <v>49.573823529411754</v>
      </c>
      <c r="C38" s="3"/>
      <c r="D38" s="3">
        <f>D36/COUNT(D2:D35)</f>
        <v>15819.864705882354</v>
      </c>
      <c r="E38" s="3"/>
      <c r="F38" s="3"/>
    </row>
    <row r="39" spans="1:11" x14ac:dyDescent="0.25">
      <c r="D39" s="27" t="s">
        <v>49</v>
      </c>
      <c r="E39" s="27"/>
      <c r="F39" s="27"/>
      <c r="G39" s="27"/>
      <c r="H39" s="3" t="s">
        <v>48</v>
      </c>
    </row>
    <row r="40" spans="1:11" ht="15.75" x14ac:dyDescent="0.25">
      <c r="A40" s="3" t="s">
        <v>38</v>
      </c>
      <c r="D40" s="26" t="s">
        <v>39</v>
      </c>
      <c r="E40" s="10"/>
      <c r="F40" s="24" t="s">
        <v>43</v>
      </c>
      <c r="G40" s="21" t="s">
        <v>47</v>
      </c>
      <c r="H40" s="25">
        <f>G36/F36</f>
        <v>2.2191420310387314E-3</v>
      </c>
    </row>
    <row r="41" spans="1:11" x14ac:dyDescent="0.25">
      <c r="A41" s="4" t="s">
        <v>50</v>
      </c>
      <c r="D41" s="26"/>
      <c r="E41" s="10"/>
      <c r="F41" s="24" t="s">
        <v>45</v>
      </c>
      <c r="G41" s="21" t="s">
        <v>46</v>
      </c>
      <c r="H41" s="16">
        <f>B38-(H40*D38)</f>
        <v>14.467296835242045</v>
      </c>
    </row>
    <row r="42" spans="1:11" ht="15.75" x14ac:dyDescent="0.25">
      <c r="D42" s="26" t="s">
        <v>67</v>
      </c>
      <c r="E42" s="9"/>
      <c r="F42" s="18" t="s">
        <v>51</v>
      </c>
      <c r="G42" s="21" t="s">
        <v>55</v>
      </c>
      <c r="H42" s="16">
        <f>I36/(COUNT(B2:B35)-2)</f>
        <v>1062.5963188419119</v>
      </c>
      <c r="J42" s="23" t="s">
        <v>68</v>
      </c>
    </row>
    <row r="43" spans="1:11" x14ac:dyDescent="0.25">
      <c r="F43" s="18"/>
      <c r="G43" s="21"/>
      <c r="H43" s="16"/>
    </row>
    <row r="44" spans="1:11" x14ac:dyDescent="0.25">
      <c r="F44" s="18" t="s">
        <v>54</v>
      </c>
      <c r="G44" s="21" t="s">
        <v>56</v>
      </c>
      <c r="H44" s="16">
        <f>H42/F36</f>
        <v>2.5548242311638869E-7</v>
      </c>
    </row>
    <row r="45" spans="1:11" x14ac:dyDescent="0.25">
      <c r="F45" s="18"/>
      <c r="G45" s="21"/>
      <c r="H45" s="16"/>
    </row>
    <row r="46" spans="1:11" x14ac:dyDescent="0.25">
      <c r="A46" s="3" t="s">
        <v>64</v>
      </c>
      <c r="B46" s="3" t="s">
        <v>57</v>
      </c>
      <c r="F46" s="18" t="s">
        <v>58</v>
      </c>
      <c r="G46" s="21" t="s">
        <v>59</v>
      </c>
      <c r="H46" s="16">
        <f>SQRT(H44)</f>
        <v>5.0545269127425635E-4</v>
      </c>
    </row>
    <row r="47" spans="1:11" x14ac:dyDescent="0.25">
      <c r="B47" s="3" t="s">
        <v>74</v>
      </c>
      <c r="C47" s="3"/>
      <c r="D47" s="15" t="s">
        <v>73</v>
      </c>
      <c r="F47" s="19"/>
      <c r="G47" s="22"/>
      <c r="H47" s="16"/>
    </row>
    <row r="48" spans="1:11" x14ac:dyDescent="0.25">
      <c r="F48" s="18" t="s">
        <v>60</v>
      </c>
      <c r="G48" s="21" t="s">
        <v>61</v>
      </c>
      <c r="H48" s="17">
        <f>1-(H42/K36)</f>
        <v>0.96875</v>
      </c>
    </row>
    <row r="49" spans="1:8" x14ac:dyDescent="0.25">
      <c r="D49" s="11">
        <v>14.467296835241999</v>
      </c>
      <c r="F49" s="19"/>
      <c r="G49" s="22"/>
      <c r="H49" s="16"/>
    </row>
    <row r="50" spans="1:8" x14ac:dyDescent="0.25">
      <c r="F50" s="20" t="s">
        <v>65</v>
      </c>
      <c r="G50" s="21" t="s">
        <v>66</v>
      </c>
      <c r="H50" s="17">
        <f>SQRT(H48)</f>
        <v>0.98425098425147639</v>
      </c>
    </row>
    <row r="51" spans="1:8" x14ac:dyDescent="0.25">
      <c r="F51" s="18" t="s">
        <v>69</v>
      </c>
      <c r="G51" s="21" t="s">
        <v>70</v>
      </c>
      <c r="H51" s="16">
        <f>F36/(34*F36)</f>
        <v>2.9411764705882353E-2</v>
      </c>
    </row>
    <row r="52" spans="1:8" x14ac:dyDescent="0.25">
      <c r="A52" s="15" t="s">
        <v>73</v>
      </c>
      <c r="F52" s="18" t="s">
        <v>71</v>
      </c>
      <c r="G52" s="21" t="s">
        <v>72</v>
      </c>
      <c r="H52" s="16">
        <f>SQRT(H51)</f>
        <v>0.17149858514250885</v>
      </c>
    </row>
    <row r="62" spans="1:8" x14ac:dyDescent="0.25">
      <c r="D62" s="1">
        <v>67.900000000000006</v>
      </c>
      <c r="E62" s="1">
        <v>28450</v>
      </c>
    </row>
    <row r="64" spans="1:8" x14ac:dyDescent="0.25">
      <c r="D64">
        <f>14.47+(0.0022*37750)</f>
        <v>97.52000000000001</v>
      </c>
    </row>
  </sheetData>
  <mergeCells count="1">
    <mergeCell ref="D39:G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Least Square Estimator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502428510</dc:creator>
  <cp:lastModifiedBy>502428510</cp:lastModifiedBy>
  <dcterms:created xsi:type="dcterms:W3CDTF">2015-06-02T07:26:58Z</dcterms:created>
  <dcterms:modified xsi:type="dcterms:W3CDTF">2015-06-03T17:46:31Z</dcterms:modified>
</cp:coreProperties>
</file>